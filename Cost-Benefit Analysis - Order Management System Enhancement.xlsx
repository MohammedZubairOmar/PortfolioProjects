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One-Time Costs" sheetId="2" state="visible" r:id="rId2"/>
    <sheet name="Recurring Costs" sheetId="3" state="visible" r:id="rId3"/>
    <sheet name="Benefits" sheetId="4" state="visible" r:id="rId4"/>
    <sheet name="Summary &amp; ROI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00"/>
    <numFmt numFmtId="167" formatCode="0.00 &quot;yrs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008000"/>
    </font>
    <font>
      <name val="Arial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2" fillId="0" borderId="1" applyAlignment="1" pivotButton="0" quotePrefix="0" xfId="0">
      <alignment wrapText="1"/>
    </xf>
    <xf numFmtId="164" fontId="5" fillId="3" borderId="1" pivotButton="0" quotePrefix="0" xfId="0"/>
    <xf numFmtId="165" fontId="5" fillId="3" borderId="1" pivotButton="0" quotePrefix="0" xfId="0"/>
    <xf numFmtId="0" fontId="0" fillId="0" borderId="1" pivotButton="0" quotePrefix="0" xfId="0"/>
    <xf numFmtId="164" fontId="6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6" fillId="0" borderId="1" pivotButton="0" quotePrefix="0" xfId="0"/>
    <xf numFmtId="0" fontId="7" fillId="5" borderId="0" pivotButton="0" quotePrefix="0" xfId="0"/>
    <xf numFmtId="0" fontId="0" fillId="5" borderId="1" pivotButton="0" quotePrefix="0" xfId="0"/>
    <xf numFmtId="164" fontId="7" fillId="5" borderId="1" pivotButton="0" quotePrefix="0" xfId="0"/>
    <xf numFmtId="164" fontId="0" fillId="0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2" fillId="0" borderId="1" pivotButton="0" quotePrefix="0" xfId="0"/>
    <xf numFmtId="166" fontId="6" fillId="0" borderId="1" pivotButton="0" quotePrefix="0" xfId="0"/>
    <xf numFmtId="167" fontId="4" fillId="0" borderId="1" pivotButton="0" quotePrefix="0" xfId="0"/>
    <xf numFmtId="165" fontId="7" fillId="5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58" customWidth="1" min="4" max="4"/>
  </cols>
  <sheetData>
    <row r="1">
      <c r="A1" s="1" t="inlineStr">
        <is>
          <t>Cost-Benefit Model — Assumptions</t>
        </is>
      </c>
    </row>
    <row r="2">
      <c r="A2" s="2" t="inlineStr">
        <is>
          <t>Yellow cells are editable inputs. Every other tab calculates from these cells — change a value here and the whole model recalculates.</t>
        </is>
      </c>
    </row>
    <row r="3">
      <c r="A3" s="3" t="inlineStr">
        <is>
          <t>Category</t>
        </is>
      </c>
      <c r="B3" s="3" t="inlineStr">
        <is>
          <t>Assumption</t>
        </is>
      </c>
      <c r="C3" s="3" t="inlineStr">
        <is>
          <t>Value</t>
        </is>
      </c>
      <c r="D3" s="3" t="inlineStr">
        <is>
          <t>Notes / Source</t>
        </is>
      </c>
    </row>
    <row r="4">
      <c r="A4" s="4" t="inlineStr">
        <is>
          <t>Scope</t>
        </is>
      </c>
      <c r="B4" s="4" t="inlineStr">
        <is>
          <t>Number of stores in scope</t>
        </is>
      </c>
      <c r="C4" s="5" t="n">
        <v>12</v>
      </c>
      <c r="D4" s="6" t="inlineStr">
        <is>
          <t>Illustrative pilot rollout across store footprint (portfolio mock scenario)</t>
        </is>
      </c>
    </row>
    <row r="5">
      <c r="A5" s="4" t="inlineStr">
        <is>
          <t>Scope</t>
        </is>
      </c>
      <c r="B5" s="4" t="inlineStr">
        <is>
          <t>Weeks per year</t>
        </is>
      </c>
      <c r="C5" s="5" t="n">
        <v>52</v>
      </c>
      <c r="D5" s="6" t="inlineStr">
        <is>
          <t>Standard calendar</t>
        </is>
      </c>
    </row>
    <row r="6">
      <c r="A6" s="4" t="inlineStr">
        <is>
          <t>Labor Rates</t>
        </is>
      </c>
      <c r="B6" s="4" t="inlineStr">
        <is>
          <t>Store manager hourly rate</t>
        </is>
      </c>
      <c r="C6" s="7" t="n">
        <v>28</v>
      </c>
      <c r="D6" s="6" t="inlineStr">
        <is>
          <t>Illustrative fully-loaded hourly rate (portfolio mock scenario)</t>
        </is>
      </c>
    </row>
    <row r="7">
      <c r="A7" s="4" t="inlineStr">
        <is>
          <t>Labor Rates</t>
        </is>
      </c>
      <c r="B7" s="4" t="inlineStr">
        <is>
          <t>Business/Data analyst hourly rate</t>
        </is>
      </c>
      <c r="C7" s="7" t="n">
        <v>45</v>
      </c>
      <c r="D7" s="6" t="inlineStr">
        <is>
          <t>Illustrative fully-loaded hourly rate (portfolio mock scenario)</t>
        </is>
      </c>
    </row>
    <row r="8">
      <c r="A8" s="4" t="inlineStr">
        <is>
          <t>Current State (As-Is)</t>
        </is>
      </c>
      <c r="B8" s="4" t="inlineStr">
        <is>
          <t>Manual reporting hours/week per store — current</t>
        </is>
      </c>
      <c r="C8" s="5" t="n">
        <v>3</v>
      </c>
      <c r="D8" s="6" t="inlineStr">
        <is>
          <t>Time store manager spends compiling sales data manually today</t>
        </is>
      </c>
    </row>
    <row r="9">
      <c r="A9" s="4" t="inlineStr">
        <is>
          <t>Current State (As-Is)</t>
        </is>
      </c>
      <c r="B9" s="4" t="inlineStr">
        <is>
          <t>Ad hoc analysis requests to BA per month — current</t>
        </is>
      </c>
      <c r="C9" s="5" t="n">
        <v>8</v>
      </c>
      <c r="D9" s="6" t="inlineStr">
        <is>
          <t>Requests routed to analyst because no self-serve dashboard exists</t>
        </is>
      </c>
    </row>
    <row r="10">
      <c r="A10" s="4" t="inlineStr">
        <is>
          <t>Current State (As-Is)</t>
        </is>
      </c>
      <c r="B10" s="4" t="inlineStr">
        <is>
          <t>Avg hours per ad hoc request</t>
        </is>
      </c>
      <c r="C10" s="5" t="n">
        <v>4</v>
      </c>
      <c r="D10" s="6" t="n"/>
    </row>
    <row r="11">
      <c r="A11" s="4" t="inlineStr">
        <is>
          <t>Future State (To-Be)</t>
        </is>
      </c>
      <c r="B11" s="4" t="inlineStr">
        <is>
          <t>Manual reporting hours/week per store — future</t>
        </is>
      </c>
      <c r="C11" s="5" t="n">
        <v>0.5</v>
      </c>
      <c r="D11" s="6" t="inlineStr">
        <is>
          <t>Time to review self-serve dashboard vs. compile a manual report</t>
        </is>
      </c>
    </row>
    <row r="12">
      <c r="A12" s="4" t="inlineStr">
        <is>
          <t>Future State (To-Be)</t>
        </is>
      </c>
      <c r="B12" s="4" t="inlineStr">
        <is>
          <t>Reduction in ad hoc analysis requests</t>
        </is>
      </c>
      <c r="C12" s="8" t="n">
        <v>0.7</v>
      </c>
      <c r="D12" s="6" t="inlineStr">
        <is>
          <t>Reduction once dashboard answers recurring questions directly</t>
        </is>
      </c>
    </row>
    <row r="13">
      <c r="A13" s="4" t="inlineStr">
        <is>
          <t>Revenue</t>
        </is>
      </c>
      <c r="B13" s="4" t="inlineStr">
        <is>
          <t>Average monthly revenue per store</t>
        </is>
      </c>
      <c r="C13" s="7" t="n">
        <v>45000</v>
      </c>
      <c r="D13" s="6" t="inlineStr">
        <is>
          <t>Illustrative — see coffeeOrdersProject.xlsx for underlying sales data</t>
        </is>
      </c>
    </row>
    <row r="14">
      <c r="A14" s="4" t="inlineStr">
        <is>
          <t>Revenue</t>
        </is>
      </c>
      <c r="B14" s="4" t="inlineStr">
        <is>
          <t>Revenue uplift from staffing optimization</t>
        </is>
      </c>
      <c r="C14" s="8" t="n">
        <v>0.0015</v>
      </c>
      <c r="D14" s="6" t="inlineStr">
        <is>
          <t>% of revenue — matching staffing to peak order-time data (conservative operational-efficiency estimate)</t>
        </is>
      </c>
    </row>
    <row r="15">
      <c r="A15" s="4" t="inlineStr">
        <is>
          <t>Revenue</t>
        </is>
      </c>
      <c r="B15" s="4" t="inlineStr">
        <is>
          <t>Revenue recovered from reduced data-quality leakage</t>
        </is>
      </c>
      <c r="C15" s="8" t="n">
        <v>0.001</v>
      </c>
      <c r="D15" s="6" t="inlineStr">
        <is>
          <t>% of revenue — fewer duplicate/void/miskeyed orders (BRD requirements FR-2, FR-7)</t>
        </is>
      </c>
    </row>
    <row r="16">
      <c r="A16" s="4" t="inlineStr">
        <is>
          <t>Recurring Cost Drivers</t>
        </is>
      </c>
      <c r="B16" s="4" t="inlineStr">
        <is>
          <t>Number of licensed dashboard users</t>
        </is>
      </c>
      <c r="C16" s="5" t="n">
        <v>15</v>
      </c>
      <c r="D16" s="6" t="inlineStr">
        <is>
          <t>Store managers + regional ops + finance reviewers</t>
        </is>
      </c>
    </row>
    <row r="17">
      <c r="A17" s="4" t="inlineStr">
        <is>
          <t>Recurring Cost Drivers</t>
        </is>
      </c>
      <c r="B17" s="4" t="inlineStr">
        <is>
          <t>Monthly BI licensing cost per user</t>
        </is>
      </c>
      <c r="C17" s="7" t="n">
        <v>10</v>
      </c>
      <c r="D17" s="6" t="inlineStr">
        <is>
          <t>Illustrative Power BI Pro per-user list price</t>
        </is>
      </c>
    </row>
    <row r="18">
      <c r="A18" s="4" t="inlineStr">
        <is>
          <t>Recurring Cost Drivers</t>
        </is>
      </c>
      <c r="B18" s="4" t="inlineStr">
        <is>
          <t>Annual dashboard maintenance hours</t>
        </is>
      </c>
      <c r="C18" s="5" t="n">
        <v>30</v>
      </c>
      <c r="D18" s="6" t="inlineStr">
        <is>
          <t>BA hours/year to maintain dashboard and data pipeline as needs evolve</t>
        </is>
      </c>
    </row>
    <row r="19">
      <c r="A19" s="4" t="inlineStr">
        <is>
          <t>Recurring Cost Drivers</t>
        </is>
      </c>
      <c r="B19" s="4" t="inlineStr">
        <is>
          <t>Data quality monitoring hours per quarter</t>
        </is>
      </c>
      <c r="C19" s="5" t="n">
        <v>10</v>
      </c>
      <c r="D19" s="6" t="inlineStr">
        <is>
          <t>BA hours/quarter reviewing data-quality exception logs (BRD FR-7)</t>
        </is>
      </c>
    </row>
    <row r="20">
      <c r="A20" s="4" t="inlineStr">
        <is>
          <t>Financial</t>
        </is>
      </c>
      <c r="B20" s="4" t="inlineStr">
        <is>
          <t>Discount rate (annual, cost of capital)</t>
        </is>
      </c>
      <c r="C20" s="8" t="n">
        <v>0.08</v>
      </c>
      <c r="D20" s="6" t="inlineStr">
        <is>
          <t>Illustrative WACC assumption</t>
        </is>
      </c>
    </row>
    <row r="21">
      <c r="A21" s="4" t="inlineStr">
        <is>
          <t>Financial</t>
        </is>
      </c>
      <c r="B21" s="4" t="inlineStr">
        <is>
          <t>Analysis horizon</t>
        </is>
      </c>
      <c r="C21" s="5" t="n">
        <v>3</v>
      </c>
      <c r="D21" s="6" t="inlineStr">
        <is>
          <t>years</t>
        </is>
      </c>
    </row>
    <row r="22">
      <c r="A22" s="4" t="inlineStr">
        <is>
          <t>Financial</t>
        </is>
      </c>
      <c r="B22" s="4" t="inlineStr">
        <is>
          <t>Contingency on one-time implementation costs</t>
        </is>
      </c>
      <c r="C22" s="8" t="n">
        <v>0.1</v>
      </c>
      <c r="D22" s="6" t="inlineStr">
        <is>
          <t>Buffer applied to implementation estimate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Implementation Cost — One-Time (Year 0)</t>
        </is>
      </c>
    </row>
    <row r="3">
      <c r="A3" s="3" t="inlineStr">
        <is>
          <t>Item</t>
        </is>
      </c>
      <c r="B3" s="3" t="inlineStr">
        <is>
          <t>Quantity</t>
        </is>
      </c>
      <c r="C3" s="3" t="inlineStr">
        <is>
          <t>Unit Cost ($/hr)</t>
        </is>
      </c>
      <c r="D3" s="3" t="inlineStr">
        <is>
          <t>Total Cost</t>
        </is>
      </c>
    </row>
    <row r="4">
      <c r="A4" s="9" t="inlineStr">
        <is>
          <t>Requirements &amp; business analysis (BRD, CBA)</t>
        </is>
      </c>
      <c r="B4" s="5" t="n">
        <v>60</v>
      </c>
      <c r="C4" s="10">
        <f>Assumptions!$C$7</f>
        <v/>
      </c>
      <c r="D4" s="11">
        <f>B4*C4</f>
        <v/>
      </c>
    </row>
    <row r="5">
      <c r="A5" s="9" t="inlineStr">
        <is>
          <t>Dashboard build (Power BI development)</t>
        </is>
      </c>
      <c r="B5" s="5" t="n">
        <v>150</v>
      </c>
      <c r="C5" s="10">
        <f>Assumptions!$C$7</f>
        <v/>
      </c>
      <c r="D5" s="11">
        <f>B5*C5</f>
        <v/>
      </c>
    </row>
    <row r="6">
      <c r="A6" s="9" t="inlineStr">
        <is>
          <t>Data pipeline / cleaning automation setup</t>
        </is>
      </c>
      <c r="B6" s="5" t="n">
        <v>120</v>
      </c>
      <c r="C6" s="10">
        <f>Assumptions!$C$7</f>
        <v/>
      </c>
      <c r="D6" s="11">
        <f>B6*C6</f>
        <v/>
      </c>
    </row>
    <row r="7">
      <c r="A7" s="9" t="inlineStr">
        <is>
          <t>Store manager training (all stores x 2 hrs)</t>
        </is>
      </c>
      <c r="B7" s="12">
        <f>Assumptions!$C$4*2</f>
        <v/>
      </c>
      <c r="C7" s="10">
        <f>Assumptions!$C$6</f>
        <v/>
      </c>
      <c r="D7" s="11">
        <f>B7*C7</f>
        <v/>
      </c>
    </row>
    <row r="9">
      <c r="A9" s="13" t="inlineStr">
        <is>
          <t>Subtotal</t>
        </is>
      </c>
      <c r="B9" s="14" t="n"/>
      <c r="C9" s="14" t="n"/>
      <c r="D9" s="15">
        <f>SUM(D4:D7)</f>
        <v/>
      </c>
    </row>
    <row r="10">
      <c r="A10" s="9" t="inlineStr">
        <is>
          <t>Contingency</t>
        </is>
      </c>
      <c r="B10" s="16">
        <f>Assumptions!$C$22</f>
        <v/>
      </c>
      <c r="C10" s="9" t="n"/>
      <c r="D10" s="11">
        <f>D9*B10</f>
        <v/>
      </c>
    </row>
    <row r="11">
      <c r="A11" s="17" t="inlineStr">
        <is>
          <t>Total One-Time Cost</t>
        </is>
      </c>
      <c r="B11" s="18" t="n"/>
      <c r="C11" s="18" t="n"/>
      <c r="D11" s="19">
        <f>D9+D10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Recurring Cost — Annual (Years 1-3)</t>
        </is>
      </c>
    </row>
    <row r="3">
      <c r="A3" s="3" t="inlineStr">
        <is>
          <t>Item</t>
        </is>
      </c>
      <c r="B3" s="3" t="inlineStr">
        <is>
          <t>Quantity</t>
        </is>
      </c>
      <c r="C3" s="3" t="inlineStr">
        <is>
          <t>Unit Cost</t>
        </is>
      </c>
      <c r="D3" s="3" t="inlineStr">
        <is>
          <t>Annual Cost</t>
        </is>
      </c>
    </row>
    <row r="4">
      <c r="A4" s="9" t="inlineStr">
        <is>
          <t>BI dashboard licensing</t>
        </is>
      </c>
      <c r="B4" s="12">
        <f>Assumptions!$C$16</f>
        <v/>
      </c>
      <c r="C4" s="10">
        <f>Assumptions!$C$17*12</f>
        <v/>
      </c>
      <c r="D4" s="20">
        <f>B4*C4</f>
        <v/>
      </c>
    </row>
    <row r="5">
      <c r="A5" s="9" t="inlineStr">
        <is>
          <t>Dashboard maintenance</t>
        </is>
      </c>
      <c r="B5" s="12">
        <f>Assumptions!$C$18</f>
        <v/>
      </c>
      <c r="C5" s="10">
        <f>Assumptions!$C$7</f>
        <v/>
      </c>
      <c r="D5" s="20">
        <f>B5*C5</f>
        <v/>
      </c>
    </row>
    <row r="6">
      <c r="A6" s="9" t="inlineStr">
        <is>
          <t>Data quality monitoring (4 quarters/year)</t>
        </is>
      </c>
      <c r="B6" s="12">
        <f>Assumptions!$C$19*4</f>
        <v/>
      </c>
      <c r="C6" s="10">
        <f>Assumptions!$C$7</f>
        <v/>
      </c>
      <c r="D6" s="20">
        <f>B6*C6</f>
        <v/>
      </c>
    </row>
    <row r="8">
      <c r="A8" s="21" t="inlineStr">
        <is>
          <t>Total Annual Recurring Cost</t>
        </is>
      </c>
      <c r="B8" s="18" t="n"/>
      <c r="C8" s="18" t="n"/>
      <c r="D8" s="19">
        <f>SUM(D4:D6)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20" customWidth="1" min="3" max="3"/>
    <col width="18" customWidth="1" min="4" max="4"/>
  </cols>
  <sheetData>
    <row r="1">
      <c r="A1" s="1" t="inlineStr">
        <is>
          <t>Quantified Benefits — Annual (Years 1-3)</t>
        </is>
      </c>
    </row>
    <row r="3">
      <c r="A3" s="3" t="inlineStr">
        <is>
          <t>Item</t>
        </is>
      </c>
      <c r="B3" s="3" t="inlineStr">
        <is>
          <t>Basis</t>
        </is>
      </c>
      <c r="C3" s="22" t="n"/>
      <c r="D3" s="3" t="inlineStr">
        <is>
          <t>Annual Benefit</t>
        </is>
      </c>
    </row>
    <row r="4">
      <c r="A4" s="9" t="inlineStr">
        <is>
          <t>Store manager reporting time savings</t>
        </is>
      </c>
      <c r="B4" s="6" t="inlineStr">
        <is>
          <t>(current hrs/wk − future hrs/wk) × weeks/yr × stores × manager rate</t>
        </is>
      </c>
      <c r="C4" s="9" t="n"/>
      <c r="D4" s="10">
        <f>(Assumptions!$C$8-Assumptions!$C$11)*Assumptions!$C$5*Assumptions!$C$4*Assumptions!$C$6</f>
        <v/>
      </c>
    </row>
    <row r="5">
      <c r="A5" s="9" t="inlineStr">
        <is>
          <t>BA time savings from reduced ad hoc requests</t>
        </is>
      </c>
      <c r="B5" s="23" t="inlineStr">
        <is>
          <t>requests/mo × 12 × hrs/request × reduction% × analyst rate</t>
        </is>
      </c>
      <c r="C5" s="9" t="n"/>
      <c r="D5" s="10">
        <f>Assumptions!$C$9*12*Assumptions!$C$10*Assumptions!$C$12*Assumptions!$C$7</f>
        <v/>
      </c>
    </row>
    <row r="6">
      <c r="A6" s="9" t="inlineStr">
        <is>
          <t>Revenue uplift — staffing optimization</t>
        </is>
      </c>
      <c r="B6" s="23" t="inlineStr">
        <is>
          <t>stores × monthly revenue × 12 × uplift%</t>
        </is>
      </c>
      <c r="C6" s="9" t="n"/>
      <c r="D6" s="10">
        <f>Assumptions!$C$4*Assumptions!$C$13*12*Assumptions!$C$14</f>
        <v/>
      </c>
    </row>
    <row r="7">
      <c r="A7" s="9" t="inlineStr">
        <is>
          <t>Revenue recovered — data quality improvement</t>
        </is>
      </c>
      <c r="B7" s="23" t="inlineStr">
        <is>
          <t>stores × monthly revenue × 12 × recovery%</t>
        </is>
      </c>
      <c r="C7" s="9" t="n"/>
      <c r="D7" s="10">
        <f>Assumptions!$C$4*Assumptions!$C$13*12*Assumptions!$C$15</f>
        <v/>
      </c>
    </row>
    <row r="9">
      <c r="A9" s="21" t="inlineStr">
        <is>
          <t>Total Annual Benefit</t>
        </is>
      </c>
      <c r="B9" s="18" t="n"/>
      <c r="C9" s="18" t="n"/>
      <c r="D9" s="19">
        <f>SUM(D4:D7)</f>
        <v/>
      </c>
    </row>
  </sheetData>
  <mergeCells count="6">
    <mergeCell ref="A1:D1"/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8" customWidth="1" min="4" max="4"/>
  </cols>
  <sheetData>
    <row r="1">
      <c r="A1" s="1" t="inlineStr">
        <is>
          <t>Cost-Benefit Summary — Order Management System Enhancement</t>
        </is>
      </c>
    </row>
    <row r="3">
      <c r="A3" s="3" t="inlineStr">
        <is>
          <t>Year</t>
        </is>
      </c>
      <c r="B3" s="3" t="inlineStr">
        <is>
          <t>Net Cash Flow</t>
        </is>
      </c>
      <c r="C3" s="3" t="inlineStr">
        <is>
          <t>Discount Factor</t>
        </is>
      </c>
      <c r="D3" s="3" t="inlineStr">
        <is>
          <t>Present Value</t>
        </is>
      </c>
    </row>
    <row r="4">
      <c r="A4" s="9" t="n">
        <v>0</v>
      </c>
      <c r="B4" s="10">
        <f>-'One-Time Costs'!$D$11</f>
        <v/>
      </c>
      <c r="C4" s="24">
        <f>1/(1+Assumptions!$C$20)^A4</f>
        <v/>
      </c>
      <c r="D4" s="20">
        <f>B4*C4</f>
        <v/>
      </c>
    </row>
    <row r="5">
      <c r="A5" s="9" t="n">
        <v>1</v>
      </c>
      <c r="B5" s="10">
        <f>Benefits!$D$9-'Recurring Costs'!$D$8</f>
        <v/>
      </c>
      <c r="C5" s="24">
        <f>1/(1+Assumptions!$C$20)^A5</f>
        <v/>
      </c>
      <c r="D5" s="20">
        <f>B5*C5</f>
        <v/>
      </c>
    </row>
    <row r="6">
      <c r="A6" s="9" t="n">
        <v>2</v>
      </c>
      <c r="B6" s="10">
        <f>Benefits!$D$9-'Recurring Costs'!$D$8</f>
        <v/>
      </c>
      <c r="C6" s="24">
        <f>1/(1+Assumptions!$C$20)^A6</f>
        <v/>
      </c>
      <c r="D6" s="20">
        <f>B6*C6</f>
        <v/>
      </c>
    </row>
    <row r="7">
      <c r="A7" s="9" t="n">
        <v>3</v>
      </c>
      <c r="B7" s="10">
        <f>Benefits!$D$9-'Recurring Costs'!$D$8</f>
        <v/>
      </c>
      <c r="C7" s="24">
        <f>1/(1+Assumptions!$C$20)^A7</f>
        <v/>
      </c>
      <c r="D7" s="20">
        <f>B7*C7</f>
        <v/>
      </c>
    </row>
    <row r="9">
      <c r="A9" s="21" t="inlineStr">
        <is>
          <t>Net Present Value (NPV)</t>
        </is>
      </c>
      <c r="B9" s="18" t="n"/>
      <c r="C9" s="18" t="n"/>
      <c r="D9" s="19">
        <f>SUM(D4:D7)</f>
        <v/>
      </c>
    </row>
    <row r="11">
      <c r="A11" s="9" t="inlineStr">
        <is>
          <t>Payback Period (years, undiscounted)</t>
        </is>
      </c>
      <c r="B11" s="9" t="n"/>
      <c r="C11" s="9" t="n"/>
      <c r="D11" s="25">
        <f>-B4/B5</f>
        <v/>
      </c>
    </row>
    <row r="12">
      <c r="A12" s="9" t="inlineStr">
        <is>
          <t>Total 3-Year Benefits (undiscounted)</t>
        </is>
      </c>
      <c r="B12" s="9" t="n"/>
      <c r="C12" s="9" t="n"/>
      <c r="D12" s="10">
        <f>Benefits!$D$9*Assumptions!$C$21</f>
        <v/>
      </c>
    </row>
    <row r="13">
      <c r="A13" s="9" t="inlineStr">
        <is>
          <t>Total 3-Year Costs (one-time + recurring, undiscounted)</t>
        </is>
      </c>
      <c r="B13" s="9" t="n"/>
      <c r="C13" s="9" t="n"/>
      <c r="D13" s="10">
        <f>'One-Time Costs'!$D$11+'Recurring Costs'!$D$8*Assumptions!$C$21</f>
        <v/>
      </c>
    </row>
    <row r="14">
      <c r="A14" s="21" t="inlineStr">
        <is>
          <t>3-Year ROI</t>
        </is>
      </c>
      <c r="B14" s="18" t="n"/>
      <c r="C14" s="18" t="n"/>
      <c r="D14" s="26">
        <f>(D12-D13)/D13</f>
        <v/>
      </c>
    </row>
    <row r="16">
      <c r="A16" s="27" t="inlineStr">
        <is>
          <t>Note: Years 1-3 assume steady-state annual benefit/recurring cost (no ramp-up). All figures are illustrative planning assumptions for this portfolio scenario, not audited financials.</t>
        </is>
      </c>
    </row>
  </sheetData>
  <mergeCells count="6">
    <mergeCell ref="A1:D1"/>
    <mergeCell ref="A13:C13"/>
    <mergeCell ref="A11:C11"/>
    <mergeCell ref="A14:C14"/>
    <mergeCell ref="A16:D16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2026-07-29T20:59:11Z</dcterms:created>
  <dcterms:modified xsi:type="dcterms:W3CDTF">2026-07-29T20:59:11Z</dcterms:modified>
</cp:coreProperties>
</file>